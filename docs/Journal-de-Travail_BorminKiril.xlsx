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ReadME-MAUI\docs\"/>
    </mc:Choice>
  </mc:AlternateContent>
  <xr:revisionPtr revIDLastSave="0" documentId="13_ncr:1_{F8962861-ED93-40A0-A5FF-9E111BB09E26}" xr6:coauthVersionLast="47" xr6:coauthVersionMax="47" xr10:uidLastSave="{00000000-0000-0000-0000-000000000000}"/>
  <bookViews>
    <workbookView xWindow="4080" yWindow="279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<sst xmlns="http://schemas.openxmlformats.org/spreadsheetml/2006/main" count="66" uniqueCount="47">
  <si>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</si>
  <si>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</si>
  <si>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</si>
  <si>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</si>
  <si>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</si>
  <si>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</si>
  <si>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</si>
  <si>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</si>
  <si>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</si>
  <si>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</si>
  <si>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</si>
  <si>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</si>
  <si>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</si>
  <si>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</si>
  <si>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</si>
  <si>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</si>
  <si>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</si>
  <si>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</si>
  <si>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</si>
  <si>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</si>
  <si>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</si>
  <si>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</si>
  <si>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</si>
  <si>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</si>
  <si>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</si>
  <si>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</si>
  <si>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</si>
  <si>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</si>
  <si>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</si>
  <si>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</si>
  <si>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</si>
  <si>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</si>
  <si>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Se familiariser avec le CDC</t>
  </si>
  <si>
    <t>Faire la maquette de la page d'accueil (bibliothèque)</t>
  </si>
  <si>
    <t>Faire la maquette de la page livre</t>
  </si>
  <si>
    <t>WIP</t>
  </si>
  <si>
    <t>Analyse du cahier des charges</t>
  </si>
  <si>
    <t>Conception UI/UX : maquettage de l'écran d'accueil (bibliothèque).</t>
  </si>
  <si>
    <t>Conception UI/UX : maquettage de la vue détaillée d'un ouvrage.</t>
  </si>
  <si>
    <t>Initialisation de l'environnement de développement et du dépôt git.</t>
  </si>
  <si>
    <t>Implémentation de la grille d'affichage dynamique avec placeholders.</t>
  </si>
  <si>
    <t>Étude technique de la structure et du parsing des fichiers .epub.</t>
  </si>
  <si>
    <t>Intégration de la librairie VersOne et test d'importation de fichiers epub</t>
  </si>
  <si>
    <t>Modélisation de la classe "Book" et gestion de la persistance en RAM.</t>
  </si>
  <si>
    <t>Finalisation de création de classe, et l'affichage des livres ajoutés suivant la maquette</t>
  </si>
  <si>
    <t>Implémentation de la page d'affichage de contenu d'un livre</t>
  </si>
  <si>
    <t>WIP, à faire le changement des 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</si>
</sst>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570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9.5238095238095233E-2</c:v>
                </c:pt>
                <c:pt idx="1">
                  <c:v>0.90476190476190477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70" zoomScaleNormal="70" workbookViewId="0">
      <pane ySplit="6" topLeftCell="A10" activePane="bottomLeft" state="frozen"/>
      <selection pane="bottomLeft" activeCell="B10" sqref="B10:G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10 heures 30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450</v>
      </c>
      <c r="E4" s="24">
        <f>SUM(C4:D4)</f>
        <v>630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/>
      <c r="D7" s="28">
        <v>20</v>
      </c>
      <c r="E7" s="29" t="s">
        <v>16</v>
      </c>
      <c r="F7" s="23" t="s">
        <v>32</v>
      </c>
      <c r="G7" s="38"/>
    </row>
    <row r="8" spans="1:15" x14ac:dyDescent="0.25">
      <c r="A8" s="62">
        <f>IF(ISBLANK(B8),"",_xlfn.ISOWEEKNUM('Journal de travail'!$B8))</f>
        <v>12</v>
      </c>
      <c r="B8" s="30">
        <v>46099</v>
      </c>
      <c r="C8" s="31"/>
      <c r="D8" s="32">
        <v>50</v>
      </c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12</v>
      </c>
      <c r="B9" s="34">
        <v>46099</v>
      </c>
      <c r="C9" s="35"/>
      <c r="D9" s="36">
        <v>50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12</v>
      </c>
      <c r="B10" s="30">
        <v>46099</v>
      </c>
      <c r="C10" s="31"/>
      <c r="D10" s="32">
        <v>20</v>
      </c>
      <c r="E10" s="33" t="s">
        <v>16</v>
      </c>
      <c r="F10" s="23" t="s">
        <v>36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12</v>
      </c>
      <c r="B11" s="34">
        <v>46099</v>
      </c>
      <c r="C11" s="35"/>
      <c r="D11" s="36">
        <v>50</v>
      </c>
      <c r="E11" s="37" t="s">
        <v>17</v>
      </c>
      <c r="F11" s="23" t="s">
        <v>37</v>
      </c>
      <c r="G11" s="40"/>
      <c r="M11" t="s">
        <v>19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12</v>
      </c>
      <c r="B12" s="30">
        <v>46099</v>
      </c>
      <c r="C12" s="31"/>
      <c r="D12" s="32">
        <v>50</v>
      </c>
      <c r="E12" s="33" t="s">
        <v>17</v>
      </c>
      <c r="F12" s="23" t="s">
        <v>38</v>
      </c>
      <c r="G12" s="39"/>
      <c r="M12" t="s">
        <v>20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12</v>
      </c>
      <c r="B13" s="34">
        <v>46099</v>
      </c>
      <c r="C13" s="35"/>
      <c r="D13" s="36">
        <v>15</v>
      </c>
      <c r="E13" s="37" t="s">
        <v>17</v>
      </c>
      <c r="F13" s="23" t="s">
        <v>39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13</v>
      </c>
      <c r="B14" s="30">
        <v>46107</v>
      </c>
      <c r="C14" s="31">
        <v>1</v>
      </c>
      <c r="D14" s="32">
        <v>25</v>
      </c>
      <c r="E14" s="33" t="s">
        <v>17</v>
      </c>
      <c r="F14" s="23" t="s">
        <v>40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13</v>
      </c>
      <c r="B15" s="34">
        <v>46107</v>
      </c>
      <c r="C15" s="35"/>
      <c r="D15" s="36">
        <v>20</v>
      </c>
      <c r="E15" s="37" t="s">
        <v>16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14</v>
      </c>
      <c r="B16" s="30">
        <v>46113</v>
      </c>
      <c r="C16" s="31">
        <v>1</v>
      </c>
      <c r="D16" s="32">
        <v>30</v>
      </c>
      <c r="E16" s="33" t="s">
        <v>17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14</v>
      </c>
      <c r="B17" s="34">
        <v>46113</v>
      </c>
      <c r="C17" s="35"/>
      <c r="D17" s="36">
        <v>50</v>
      </c>
      <c r="E17" s="37" t="s">
        <v>17</v>
      </c>
      <c r="F17" s="23" t="s">
        <v>43</v>
      </c>
      <c r="G17" s="40" t="s">
        <v>35</v>
      </c>
      <c r="O17">
        <v>45</v>
      </c>
    </row>
    <row r="18" spans="1:15" x14ac:dyDescent="0.25">
      <c r="A18" s="62">
        <f>IF(ISBLANK(B18),"",_xlfn.ISOWEEKNUM('Journal de travail'!$B18))</f>
        <v>17</v>
      </c>
      <c r="B18" s="30">
        <v>46134</v>
      </c>
      <c r="C18" s="31"/>
      <c r="D18" s="32">
        <v>40</v>
      </c>
      <c r="E18" s="33" t="s">
        <v>17</v>
      </c>
      <c r="F18" s="23" t="s">
        <v>44</v>
      </c>
      <c r="G18" s="39"/>
      <c r="O18">
        <v>50</v>
      </c>
    </row>
    <row r="19" spans="1:15" x14ac:dyDescent="0.25">
      <c r="A19" s="63">
        <f>IF(ISBLANK(B19),"",_xlfn.ISOWEEKNUM('Journal de travail'!$B19))</f>
        <v>17</v>
      </c>
      <c r="B19" s="34">
        <v>46134</v>
      </c>
      <c r="C19" s="35">
        <v>1</v>
      </c>
      <c r="D19" s="36">
        <v>30</v>
      </c>
      <c r="E19" s="37" t="s">
        <v>17</v>
      </c>
      <c r="F19" s="23" t="s">
        <v>45</v>
      </c>
      <c r="G19" s="40" t="s">
        <v>46</v>
      </c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60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9.5238095238095233E-2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390</v>
      </c>
      <c r="C7">
        <f t="shared" si="0"/>
        <v>570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9 h 30 min</v>
      </c>
      <c r="G7" s="75">
        <f t="shared" ref="G7:G9" si="2">SUM(A7:B7)/$C$11</f>
        <v>0.90476190476190477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450</v>
      </c>
      <c r="C11">
        <f>SUM(A11:B11)</f>
        <v>630</v>
      </c>
      <c r="E11" s="81" t="s">
        <v>31</v>
      </c>
      <c r="F11" s="71" t="str">
        <f t="shared" si="1"/>
        <v>10 h 30 min</v>
      </c>
      <c r="G11" s="82">
        <f>C11/C12</f>
        <v>0.11666666666666667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2026-04-22T14:34:26Z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