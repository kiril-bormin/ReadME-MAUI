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ReadME-MAUI\docs\"/>
    </mc:Choice>
  </mc:AlternateContent>
  <xr:revisionPtr revIDLastSave="0" documentId="13_ncr:1_{1542BEB0-45D3-4B9E-A7FA-68813A3EC093}" xr6:coauthVersionLast="47" xr6:coauthVersionMax="47" xr10:uidLastSave="{00000000-0000-0000-0000-000000000000}"/>
  <bookViews>
    <workbookView xWindow="3390" yWindow="210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<sst xmlns="http://schemas.openxmlformats.org/spreadsheetml/2006/main" count="55" uniqueCount="41">
  <si>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</si>
  <si>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</si>
  <si>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</si>
  <si>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</si>
  <si>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</si>
  <si>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</si>
  <si>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</si>
  <si>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</si>
  <si>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</si>
  <si>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</si>
  <si>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</si>
  <si>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</si>
  <si>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</si>
  <si>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</si>
  <si>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</si>
  <si>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</si>
  <si>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</si>
  <si>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</si>
  <si>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</si>
  <si>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</si>
  <si>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</si>
  <si>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</si>
  <si>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</si>
  <si>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</si>
  <si>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</si>
  <si>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</si>
  <si>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</si>
  <si>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</si>
  <si>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</si>
  <si>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</si>
  <si>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</si>
  <si>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</si>
  <si>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Se familiariser avec le CDC</t>
  </si>
  <si>
    <t>Faire la maquette de la page d'accueil (bibliothèque)</t>
  </si>
  <si>
    <t>Faire la maquette de la page livre</t>
  </si>
  <si>
    <t>Création du projet, et versionning du projet</t>
  </si>
  <si>
    <t>Ajout du grid (place holders) pour les livres sur la page d'accueil</t>
  </si>
  <si>
    <t>Renseignement sur le fonctionnement des fichiers .epub</t>
  </si>
  <si>
    <t>Importation d'un fichier epub utilisant la librarie VersOne</t>
  </si>
  <si>
    <t>Ajout d'une classe Book et structure qui permet de sauvegarder les données chargé en ram</t>
  </si>
  <si>
    <t>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</si>
</sst>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40</c:v>
                </c:pt>
                <c:pt idx="1">
                  <c:v>340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0.10526315789473684</c:v>
                </c:pt>
                <c:pt idx="1">
                  <c:v>0.89473684210526316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G1" zoomScale="40" zoomScaleNormal="40" workbookViewId="0">
      <pane ySplit="6" topLeftCell="A10" activePane="bottomLeft" state="frozen"/>
      <selection pane="bottomLeft" activeCell="G15" sqref="G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6 heures 20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260</v>
      </c>
      <c r="E4" s="24">
        <f>SUM(C4:D4)</f>
        <v>380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/>
      <c r="D7" s="28">
        <v>20</v>
      </c>
      <c r="E7" s="29" t="s">
        <v>16</v>
      </c>
      <c r="F7" s="23" t="s">
        <v>32</v>
      </c>
      <c r="G7" s="38"/>
    </row>
    <row r="8" spans="1:15" x14ac:dyDescent="0.25">
      <c r="A8" s="62">
        <f>IF(ISBLANK(B8),"",_xlfn.ISOWEEKNUM('Journal de travail'!$B8))</f>
        <v>12</v>
      </c>
      <c r="B8" s="30">
        <v>46099</v>
      </c>
      <c r="C8" s="31"/>
      <c r="D8" s="32">
        <v>50</v>
      </c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12</v>
      </c>
      <c r="B9" s="34">
        <v>46099</v>
      </c>
      <c r="C9" s="35"/>
      <c r="D9" s="36">
        <v>50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12</v>
      </c>
      <c r="B10" s="30">
        <v>46099</v>
      </c>
      <c r="C10" s="31"/>
      <c r="D10" s="32">
        <v>15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46107</v>
      </c>
      <c r="C11" s="35">
        <v>1</v>
      </c>
      <c r="D11" s="36">
        <v>25</v>
      </c>
      <c r="E11" s="37" t="s">
        <v>17</v>
      </c>
      <c r="F11" s="23" t="s">
        <v>36</v>
      </c>
      <c r="G11" s="40"/>
      <c r="M11" t="s">
        <v>19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13</v>
      </c>
      <c r="B12" s="30">
        <v>46107</v>
      </c>
      <c r="C12" s="31"/>
      <c r="D12" s="32">
        <v>20</v>
      </c>
      <c r="E12" s="33" t="s">
        <v>16</v>
      </c>
      <c r="F12" s="23" t="s">
        <v>37</v>
      </c>
      <c r="G12" s="39"/>
      <c r="M12" t="s">
        <v>20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30</v>
      </c>
      <c r="E13" s="37" t="s">
        <v>17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18</v>
      </c>
      <c r="B14" s="30">
        <v>46143</v>
      </c>
      <c r="C14" s="31"/>
      <c r="D14" s="32">
        <v>50</v>
      </c>
      <c r="E14" s="33" t="s">
        <v>17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40</v>
      </c>
      <c r="C6">
        <f t="shared" ref="C6:C10" si="0">SUM(A6:B6)</f>
        <v>40</v>
      </c>
      <c r="E6" s="70" t="str">
        <f>'Journal de travail'!M8</f>
        <v>Analyse</v>
      </c>
      <c r="F6" s="71" t="str">
        <f>QUOTIENT(SUM(A6:B6),60)&amp;" h "&amp;TEXT(MOD(SUM(A6:B6),60), "00")&amp;" min"</f>
        <v>0 h 40 min</v>
      </c>
      <c r="G6" s="72">
        <f>SUM(A6:B6)/$C$11</f>
        <v>0.10526315789473684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220</v>
      </c>
      <c r="C7">
        <f t="shared" si="0"/>
        <v>340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5 h 40 min</v>
      </c>
      <c r="G7" s="75">
        <f t="shared" ref="G7:G9" si="2">SUM(A7:B7)/$C$11</f>
        <v>0.89473684210526316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260</v>
      </c>
      <c r="C11">
        <f>SUM(A11:B11)</f>
        <v>380</v>
      </c>
      <c r="E11" s="81" t="s">
        <v>31</v>
      </c>
      <c r="F11" s="71" t="str">
        <f t="shared" si="1"/>
        <v>6 h 20 min</v>
      </c>
      <c r="G11" s="82">
        <f>C11/C12</f>
        <v>7.0370370370370375E-2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2026-04-01T14:30:48Z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