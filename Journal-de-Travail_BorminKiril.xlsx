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ReadME-MAUI\"/>
    </mc:Choice>
  </mc:AlternateContent>
  <xr:revisionPtr revIDLastSave="0" documentId="13_ncr:1_{1C4BE45B-2D43-48B7-B259-EBF24F1FA127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<sst xmlns="http://schemas.openxmlformats.org/spreadsheetml/2006/main" count="44" uniqueCount="35">
  <si>
    <t>Journal de travail</t>
  </si>
  <si>
    <t>Auteur:</t>
  </si>
  <si>
    <t>Bormin Kiril</t>
  </si>
  <si>
    <t>Projet:</t>
  </si>
  <si>
    <t>P_Mobile</t>
  </si>
  <si>
    <t>Temps total:</t>
  </si>
  <si>
    <t>Date:</t>
  </si>
  <si>
    <t>de 18.03.2026 à 27.05.2026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</si>
  <si>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</si>
  <si>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</si>
  <si>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</si>
  <si>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</si>
  <si>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</si>
  <si>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</si>
  <si>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</si>
  <si>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</si>
  <si>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</si>
  <si>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</si>
  <si>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</si>
  <si>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</si>
  <si>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</si>
  <si>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</si>
  <si>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</si>
  <si>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</si>
  <si>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</si>
  <si>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</si>
  <si>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</si>
  <si>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</si>
  <si>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</si>
  <si>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</si>
  <si>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</si>
  <si>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</si>
  <si>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Se familiariser avec le CDC</t>
  </si>
  <si>
    <t>Faire la maquette de la page d'accueil (bibliothèque)</t>
  </si>
  <si>
    <t>Faire la maquette de la page 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</si>
</sst>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20</c:v>
                </c:pt>
                <c:pt idx="1">
                  <c:v>110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0.15384615384615385</c:v>
                </c:pt>
                <c:pt idx="1">
                  <c:v>0.84615384615384615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15" sqref="F15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4</v>
      </c>
    </row>
    <row r="3" spans="1:15" ht="23.25" x14ac:dyDescent="0.35">
      <c r="A3" s="86" t="s">
        <v>5</v>
      </c>
      <c r="B3" s="86"/>
      <c r="C3" s="67" t="str">
        <f>QUOTIENT(E4,60)&amp;" heures "&amp;MOD(E4,60)&amp;" minutes"</f>
        <v>2 heures 10 minutes</v>
      </c>
      <c r="D3" s="17"/>
      <c r="E3" s="3"/>
      <c r="F3" s="4" t="s">
        <v>6</v>
      </c>
      <c r="G3" s="65" t="s">
        <v>7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70</v>
      </c>
      <c r="E4" s="24">
        <f>SUM(C4:D4)</f>
        <v>130</v>
      </c>
      <c r="F4" s="4"/>
      <c r="G4" s="6"/>
    </row>
    <row r="5" spans="1:15" x14ac:dyDescent="0.25">
      <c r="C5" s="85" t="s">
        <v>8</v>
      </c>
      <c r="D5" s="85"/>
    </row>
    <row r="6" spans="1:15" s="15" customFormat="1" ht="20.100000000000001" customHeight="1" x14ac:dyDescent="0.3">
      <c r="A6" s="13" t="s">
        <v>9</v>
      </c>
      <c r="B6" s="21" t="s">
        <v>10</v>
      </c>
      <c r="C6" s="25" t="s">
        <v>11</v>
      </c>
      <c r="D6" s="16" t="s">
        <v>12</v>
      </c>
      <c r="E6" s="14" t="s">
        <v>13</v>
      </c>
      <c r="F6" s="14" t="s">
        <v>14</v>
      </c>
      <c r="G6" s="14" t="s">
        <v>15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/>
      <c r="D7" s="28">
        <v>20</v>
      </c>
      <c r="E7" s="29" t="s">
        <v>16</v>
      </c>
      <c r="F7" s="23" t="s">
        <v>32</v>
      </c>
      <c r="G7" s="38"/>
    </row>
    <row r="8" spans="1:15" x14ac:dyDescent="0.25">
      <c r="A8" s="62">
        <f>IF(ISBLANK(B8),"",_xlfn.ISOWEEKNUM('Journal de travail'!$B8))</f>
        <v>12</v>
      </c>
      <c r="B8" s="30">
        <v>46099</v>
      </c>
      <c r="C8" s="31">
        <v>1</v>
      </c>
      <c r="D8" s="32"/>
      <c r="E8" s="33" t="s">
        <v>17</v>
      </c>
      <c r="F8" s="23" t="s">
        <v>33</v>
      </c>
      <c r="G8" s="39"/>
      <c r="M8" t="s">
        <v>16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12</v>
      </c>
      <c r="B9" s="34">
        <v>46099</v>
      </c>
      <c r="C9" s="35"/>
      <c r="D9" s="36">
        <v>50</v>
      </c>
      <c r="E9" s="37" t="s">
        <v>17</v>
      </c>
      <c r="F9" s="23" t="s">
        <v>34</v>
      </c>
      <c r="G9" s="40"/>
      <c r="M9" t="s">
        <v>17</v>
      </c>
      <c r="N9">
        <v>2</v>
      </c>
      <c r="O9">
        <v>5</v>
      </c>
    </row>
    <row r="10" spans="1:15" x14ac:dyDescent="0.25">
      <c r="A10" s="62" t="str">
        <f>IF(ISBLANK(B10),"",_xlfn.ISOWEEKNUM('Journal de travail'!$B10))</f>
        <v/>
      </c>
      <c r="B10" s="30"/>
      <c r="C10" s="31"/>
      <c r="D10" s="32"/>
      <c r="E10" s="33"/>
      <c r="F10" s="23"/>
      <c r="G10" s="39"/>
      <c r="M10" t="s">
        <v>18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19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20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21</v>
      </c>
      <c r="F2" s="68">
        <v>90</v>
      </c>
      <c r="G2" s="66" t="s">
        <v>22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23</v>
      </c>
      <c r="L4" s="66" t="s">
        <v>24</v>
      </c>
      <c r="M4" s="41"/>
      <c r="N4" s="19"/>
    </row>
    <row r="5" spans="1:14" x14ac:dyDescent="0.3">
      <c r="A5" t="s">
        <v>25</v>
      </c>
      <c r="B5" t="s">
        <v>26</v>
      </c>
      <c r="C5" s="41" t="s">
        <v>27</v>
      </c>
      <c r="D5" s="42"/>
      <c r="E5" s="45" t="s">
        <v>28</v>
      </c>
      <c r="F5" s="46" t="s">
        <v>29</v>
      </c>
      <c r="G5" s="47" t="s">
        <v>30</v>
      </c>
      <c r="L5" s="48" t="s">
        <v>28</v>
      </c>
      <c r="M5" s="49" t="s">
        <v>29</v>
      </c>
      <c r="N5" s="50" t="s">
        <v>30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20</v>
      </c>
      <c r="C6">
        <f t="shared" ref="C6:C10" si="0">SUM(A6:B6)</f>
        <v>20</v>
      </c>
      <c r="E6" s="70" t="str">
        <f>'Journal de travail'!M8</f>
        <v>Analyse</v>
      </c>
      <c r="F6" s="71" t="str">
        <f>QUOTIENT(SUM(A6:B6),60)&amp;" h "&amp;TEXT(MOD(SUM(A6:B6),60), "00")&amp;" min"</f>
        <v>0 h 20 min</v>
      </c>
      <c r="G6" s="72">
        <f>SUM(A6:B6)/$C$11</f>
        <v>0.15384615384615385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50</v>
      </c>
      <c r="C7">
        <f t="shared" si="0"/>
        <v>110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 h 50 min</v>
      </c>
      <c r="G7" s="75">
        <f t="shared" ref="G7:G9" si="2">SUM(A7:B7)/$C$11</f>
        <v>0.84615384615384615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20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20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70</v>
      </c>
      <c r="C11">
        <f>SUM(A11:B11)</f>
        <v>130</v>
      </c>
      <c r="E11" s="81" t="s">
        <v>31</v>
      </c>
      <c r="F11" s="71" t="str">
        <f t="shared" si="1"/>
        <v>2 h 10 min</v>
      </c>
      <c r="G11" s="82">
        <f>C11/C12</f>
        <v>2.4074074074074074E-2</v>
      </c>
      <c r="L11" s="56" t="s">
        <v>31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2026-03-18T15:07:48Z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