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wnloads\"/>
    </mc:Choice>
  </mc:AlternateContent>
  <xr:revisionPtr revIDLastSave="0" documentId="8_{B15226F6-C78D-4AB0-B35F-01818DF4B7B6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<sst xmlns="http://schemas.openxmlformats.org/spreadsheetml/2006/main" count="38" uniqueCount="32">
  <si>
    <t>Journal de travail</t>
  </si>
  <si>
    <t>Auteur:</t>
  </si>
  <si>
    <t>Bormin Kiril</t>
  </si>
  <si>
    <t>Projet:</t>
  </si>
  <si>
    <t>P_Mobile</t>
  </si>
  <si>
    <t>Temps total:</t>
  </si>
  <si>
    <t>Date:</t>
  </si>
  <si>
    <t>de 18.03.2026 à 27.05.2026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</si>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</sst>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.      " dataDxfId="4"/>
    <tableColumn id="4" xr3:uid="{BE4D837D-FC99-BA48-A82F-B8C8E4CE5BF8}" name="min." dataDxfId="3"/>
    <tableColumn id="5" xr3:uid="{A2DCC539-6D2A-B04A-BF8E-6FACE6268D1F}" name="Type" dataDxfId="2"/>
    <tableColumn id="6" xr3:uid="{4EA406B9-7EF7-D547-AF98-5AD11BE168E9}" name="Description" dataDxfId="1"/>
    <tableColumn id="7" xr3:uid="{1735360B-2647-6D42-A0E3-3425EE302FFD}" name="Remarques/problèm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F20" activePane="bottomLeft" state="frozen"/>
      <selection pane="bottomLeft" activeCell="G29" sqref="G29"/>
    </sheetView>
  </sheetViews>
  <sheetFormatPr defaultColWidth="11" defaultRowHeight="15.7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>
      <c r="A1" s="8"/>
      <c r="B1" s="9"/>
      <c r="C1" s="10"/>
      <c r="D1" s="10"/>
      <c r="E1" s="11"/>
      <c r="F1" s="12" t="s">
        <v>0</v>
      </c>
      <c r="G1" s="11"/>
    </row>
    <row r="2" spans="1:15" ht="23.2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4</v>
      </c>
    </row>
    <row r="3" spans="1:15" ht="23.25">
      <c r="A3" s="86" t="s">
        <v>5</v>
      </c>
      <c r="B3" s="86"/>
      <c r="C3" s="67" t="str">
        <f>QUOTIENT(E4,60)&amp;" heures "&amp;MOD(E4,60)&amp;" minutes"</f>
        <v>0 heures 0 minutes</v>
      </c>
      <c r="D3" s="17"/>
      <c r="E3" s="3"/>
      <c r="F3" s="4" t="s">
        <v>6</v>
      </c>
      <c r="G3" s="65" t="s">
        <v>7</v>
      </c>
    </row>
    <row r="4" spans="1:15" ht="23.25" hidden="1">
      <c r="B4" s="5"/>
      <c r="C4" s="17">
        <f>SUBTOTAL(9,$C$7:$C$531)*60</f>
        <v>0</v>
      </c>
      <c r="D4" s="17">
        <f>SUBTOTAL(9,$D$7:$D$531)</f>
        <v>0</v>
      </c>
      <c r="E4" s="24">
        <f>SUM(C4:D4)</f>
        <v>0</v>
      </c>
      <c r="F4" s="4"/>
      <c r="G4" s="6"/>
    </row>
    <row r="5" spans="1:15">
      <c r="C5" s="85" t="s">
        <v>8</v>
      </c>
      <c r="D5" s="85"/>
    </row>
    <row r="6" spans="1:15" s="15" customFormat="1" ht="20.100000000000001" customHeight="1">
      <c r="A6" s="13" t="s">
        <v>9</v>
      </c>
      <c r="B6" s="21" t="s">
        <v>10</v>
      </c>
      <c r="C6" s="25" t="s">
        <v>11</v>
      </c>
      <c r="D6" s="16" t="s">
        <v>12</v>
      </c>
      <c r="E6" s="14" t="s">
        <v>13</v>
      </c>
      <c r="F6" s="14" t="s">
        <v>14</v>
      </c>
      <c r="G6" s="14" t="s">
        <v>15</v>
      </c>
    </row>
    <row r="7" spans="1:15">
      <c r="A7" s="61" t="str">
        <f>IF(ISBLANK(B7),"",_xlfn.ISOWEEKNUM('Journal de travail'!$B7))</f>
        <v/>
      </c>
      <c r="B7" s="26"/>
      <c r="C7" s="27"/>
      <c r="D7" s="28"/>
      <c r="E7" s="29"/>
      <c r="F7" s="23"/>
      <c r="G7" s="38"/>
    </row>
    <row r="8" spans="1:15">
      <c r="A8" s="62" t="str">
        <f>IF(ISBLANK(B8),"",_xlfn.ISOWEEKNUM('Journal de travail'!$B8))</f>
        <v/>
      </c>
      <c r="B8" s="30"/>
      <c r="C8" s="31"/>
      <c r="D8" s="32"/>
      <c r="E8" s="33"/>
      <c r="F8" s="23"/>
      <c r="G8" s="39"/>
      <c r="M8" t="s">
        <v>16</v>
      </c>
      <c r="N8">
        <v>1</v>
      </c>
      <c r="O8">
        <v>0</v>
      </c>
    </row>
    <row r="9" spans="1:15">
      <c r="A9" s="63" t="str">
        <f>IF(ISBLANK(B9),"",_xlfn.ISOWEEKNUM('Journal de travail'!$B9))</f>
        <v/>
      </c>
      <c r="B9" s="34"/>
      <c r="C9" s="35"/>
      <c r="D9" s="36"/>
      <c r="E9" s="37"/>
      <c r="F9" s="23"/>
      <c r="G9" s="40"/>
      <c r="M9" t="s">
        <v>17</v>
      </c>
      <c r="N9">
        <v>2</v>
      </c>
      <c r="O9">
        <v>5</v>
      </c>
    </row>
    <row r="10" spans="1:15">
      <c r="A10" s="62" t="str">
        <f>IF(ISBLANK(B10),"",_xlfn.ISOWEEKNUM('Journal de travail'!$B10))</f>
        <v/>
      </c>
      <c r="B10" s="30"/>
      <c r="C10" s="31"/>
      <c r="D10" s="32"/>
      <c r="E10" s="33"/>
      <c r="F10" s="23"/>
      <c r="G10" s="39"/>
      <c r="M10" t="s">
        <v>18</v>
      </c>
      <c r="N10">
        <v>3</v>
      </c>
      <c r="O10">
        <v>10</v>
      </c>
    </row>
    <row r="11" spans="1:1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19</v>
      </c>
      <c r="N11">
        <v>4</v>
      </c>
      <c r="O11">
        <v>15</v>
      </c>
    </row>
    <row r="12" spans="1:1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20</v>
      </c>
      <c r="N12">
        <v>5</v>
      </c>
      <c r="O12">
        <v>20</v>
      </c>
    </row>
    <row r="13" spans="1:1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17" priority="1">
      <formula>$E7="Absent"</formula>
    </cfRule>
    <cfRule type="expression" dxfId="16" priority="2">
      <formula>$E7="Autre"</formula>
    </cfRule>
    <cfRule type="expression" dxfId="15" priority="3" stopIfTrue="1">
      <formula>$E7="Design"</formula>
    </cfRule>
    <cfRule type="expression" dxfId="14" priority="4" stopIfTrue="1">
      <formula>$E7="Présentation"</formula>
    </cfRule>
    <cfRule type="expression" dxfId="13" priority="5" stopIfTrue="1">
      <formula>$E7="Meeting"</formula>
    </cfRule>
    <cfRule type="expression" dxfId="12" priority="6" stopIfTrue="1">
      <formula>$E7="Documentation"</formula>
    </cfRule>
    <cfRule type="expression" dxfId="11" priority="7" stopIfTrue="1">
      <formula>$E7="Test"</formula>
    </cfRule>
    <cfRule type="expression" dxfId="10" priority="8" stopIfTrue="1">
      <formula>$E7="Analyse"</formula>
    </cfRule>
    <cfRule type="expression" dxfId="9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defaultColWidth="11" defaultRowHeight="18.75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>
      <c r="E2" s="66" t="s">
        <v>21</v>
      </c>
      <c r="F2" s="68">
        <v>90</v>
      </c>
      <c r="G2" s="66" t="s">
        <v>22</v>
      </c>
      <c r="L2" s="18"/>
      <c r="M2" s="44"/>
      <c r="N2" s="18"/>
    </row>
    <row r="3" spans="1:14">
      <c r="L3" s="19"/>
      <c r="M3" s="20"/>
      <c r="N3" s="19"/>
    </row>
    <row r="4" spans="1:14" ht="21">
      <c r="E4" s="66" t="s">
        <v>23</v>
      </c>
      <c r="L4" s="66" t="s">
        <v>24</v>
      </c>
      <c r="M4" s="41"/>
      <c r="N4" s="19"/>
    </row>
    <row r="5" spans="1:14">
      <c r="A5" t="s">
        <v>25</v>
      </c>
      <c r="B5" t="s">
        <v>26</v>
      </c>
      <c r="C5" s="41" t="s">
        <v>27</v>
      </c>
      <c r="D5" s="42"/>
      <c r="E5" s="45" t="s">
        <v>28</v>
      </c>
      <c r="F5" s="46" t="s">
        <v>29</v>
      </c>
      <c r="G5" s="47" t="s">
        <v>30</v>
      </c>
      <c r="L5" s="48" t="s">
        <v>28</v>
      </c>
      <c r="M5" s="49" t="s">
        <v>29</v>
      </c>
      <c r="N5" s="50" t="s">
        <v>30</v>
      </c>
    </row>
    <row r="6" spans="1:14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 t="e">
        <f>SUM(A6:B6)/$C$11</f>
        <v>#DIV/0!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0</v>
      </c>
      <c r="C7">
        <f t="shared" si="0"/>
        <v>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00 min</v>
      </c>
      <c r="G7" s="75" t="e">
        <f t="shared" ref="G7:G9" si="2">SUM(A7:B7)/$C$11</f>
        <v>#DIV/0!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 t="e">
        <f t="shared" si="2"/>
        <v>#DIV/0!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 t="e">
        <f t="shared" si="2"/>
        <v>#DIV/0!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20</v>
      </c>
      <c r="F10" s="79" t="str">
        <f t="shared" ref="F10" si="4">QUOTIENT(SUM(A10:B10),60)&amp;" h "&amp;TEXT(MOD(SUM(A10:B10),60), "00")&amp;" min"</f>
        <v>0 h 00 min</v>
      </c>
      <c r="G10" s="80" t="e">
        <f>SUM(A10:B10)/$C$11</f>
        <v>#DIV/0!</v>
      </c>
      <c r="L10" s="69" t="s">
        <v>20</v>
      </c>
      <c r="M10" s="52" t="str">
        <f t="shared" si="3"/>
        <v>0 h 00 m</v>
      </c>
      <c r="N10" s="83">
        <v>0</v>
      </c>
    </row>
    <row r="11" spans="1:14">
      <c r="A11">
        <f>SUM(A6:A10)</f>
        <v>0</v>
      </c>
      <c r="B11">
        <f>SUM(B6:B10)</f>
        <v>0</v>
      </c>
      <c r="C11">
        <f>SUM(A11:B11)</f>
        <v>0</v>
      </c>
      <c r="E11" s="81" t="s">
        <v>31</v>
      </c>
      <c r="F11" s="71" t="str">
        <f t="shared" si="1"/>
        <v>0 h 00 min</v>
      </c>
      <c r="G11" s="82">
        <f>C11/C12</f>
        <v>0</v>
      </c>
      <c r="L11" s="56" t="s">
        <v>31</v>
      </c>
      <c r="M11" s="57"/>
      <c r="N11" s="60">
        <f>SUM(N6:N10)</f>
        <v>1</v>
      </c>
    </row>
    <row r="12" spans="1:14">
      <c r="C12">
        <f>F2*60</f>
        <v>5400</v>
      </c>
    </row>
    <row r="13" spans="1:14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defaultColWidth="11" defaultRowHeight="15.7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/>
</file>

<file path=customXml/itemProps2.xml><?xml version="1.0" encoding="utf-8"?>
<ds:datastoreItem xmlns:ds="http://schemas.openxmlformats.org/officeDocument/2006/customXml" ds:itemID="{1424D28F-D6A9-45ED-AED5-A0D744400EE5}"/>
</file>

<file path=customXml/itemProps3.xml><?xml version="1.0" encoding="utf-8"?>
<ds:datastoreItem xmlns:ds="http://schemas.openxmlformats.org/officeDocument/2006/customXml" ds:itemID="{74326215-CB02-4E95-BFFB-9EC625B1BF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/>
  <cp:revision/>
  <dcterms:created xsi:type="dcterms:W3CDTF">2023-11-21T20:00:34Z</dcterms:created>
  <dcterms:modified xsi:type="dcterms:W3CDTF">2026-03-18T15:02:31Z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